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Aktual" sheetId="1" state="visible" r:id="rId1"/>
    <sheet xmlns:r="http://schemas.openxmlformats.org/officeDocument/2006/relationships" name="Statistik OLS" sheetId="2" state="visible" r:id="rId2"/>
    <sheet xmlns:r="http://schemas.openxmlformats.org/officeDocument/2006/relationships" name="Dashboard Resmi" sheetId="3" state="visible" r:id="rId3"/>
    <sheet xmlns:r="http://schemas.openxmlformats.org/officeDocument/2006/relationships" name="Proyeksi Tahunan" sheetId="4" state="visible" r:id="rId4"/>
    <sheet xmlns:r="http://schemas.openxmlformats.org/officeDocument/2006/relationships" name="Gap 2031" sheetId="5" state="visible" r:id="rId5"/>
    <sheet xmlns:r="http://schemas.openxmlformats.org/officeDocument/2006/relationships" name="Catat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Proyeksi Total Nasional</a:t>
            </a:r>
          </a:p>
        </rich>
      </tx>
    </title>
    <plotArea>
      <lineChart>
        <grouping val="standard"/>
        <ser>
          <idx val="0"/>
          <order val="0"/>
          <tx>
            <strRef>
              <f>'Proyeksi Tahunan'!C1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'Proyeksi Tahunan'!$A$2:$A$7</f>
            </numRef>
          </cat>
          <val>
            <numRef>
              <f>'Proyeksi Tahunan'!$C$2:$C$7</f>
            </numRef>
          </val>
        </ser>
        <ser>
          <idx val="1"/>
          <order val="1"/>
          <tx>
            <strRef>
              <f>'Proyeksi Tahunan'!D1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'Proyeksi Tahunan'!$A$2:$A$7</f>
            </numRef>
          </cat>
          <val>
            <numRef>
              <f>'Proyeksi Tahunan'!$D$2:$D$7</f>
            </numRef>
          </val>
        </ser>
        <ser>
          <idx val="2"/>
          <order val="2"/>
          <tx>
            <strRef>
              <f>'Proyeksi Tahunan'!E1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'Proyeksi Tahunan'!$A$2:$A$7</f>
            </numRef>
          </cat>
          <val>
            <numRef>
              <f>'Proyeksi Tahunan'!$E$2:$E$7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Tahun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Orang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7" customWidth="1" min="4" max="4"/>
    <col width="20" customWidth="1" min="5" max="5"/>
    <col width="20" customWidth="1" min="6" max="6"/>
  </cols>
  <sheetData>
    <row r="1">
      <c r="A1" s="1" t="inlineStr">
        <is>
          <t>periode</t>
        </is>
      </c>
      <c r="B1" s="1" t="inlineStr">
        <is>
          <t>tanggal</t>
        </is>
      </c>
      <c r="C1" s="1" t="inlineStr">
        <is>
          <t>bulan_ke</t>
        </is>
      </c>
      <c r="D1" s="1" t="inlineStr">
        <is>
          <t>total</t>
        </is>
      </c>
      <c r="E1" s="1" t="inlineStr">
        <is>
          <t>fitted_total</t>
        </is>
      </c>
      <c r="F1" s="1" t="inlineStr">
        <is>
          <t>residual</t>
        </is>
      </c>
    </row>
    <row r="2">
      <c r="A2" t="inlineStr">
        <is>
          <t>2025-06</t>
        </is>
      </c>
      <c r="B2" s="2" t="n">
        <v>45809</v>
      </c>
      <c r="C2" s="3" t="n">
        <v>0</v>
      </c>
      <c r="D2" s="3" t="n">
        <v>23338</v>
      </c>
      <c r="E2" s="3" t="n">
        <v>23402.55454545455</v>
      </c>
      <c r="F2" s="3" t="n">
        <v>-64.55454545454631</v>
      </c>
    </row>
    <row r="3">
      <c r="A3" t="inlineStr">
        <is>
          <t>2026-05</t>
        </is>
      </c>
      <c r="B3" s="2" t="n">
        <v>46143</v>
      </c>
      <c r="C3" s="3" t="n">
        <v>11</v>
      </c>
      <c r="D3" s="3" t="n">
        <v>27875</v>
      </c>
      <c r="E3" s="3" t="n">
        <v>27454.15454545454</v>
      </c>
      <c r="F3" s="3" t="n">
        <v>420.8454545454551</v>
      </c>
    </row>
    <row r="4">
      <c r="A4" t="inlineStr">
        <is>
          <t>2026-06</t>
        </is>
      </c>
      <c r="B4" s="2" t="n">
        <v>46174</v>
      </c>
      <c r="C4" s="3" t="n">
        <v>12</v>
      </c>
      <c r="D4" s="3" t="n">
        <v>27820</v>
      </c>
      <c r="E4" s="3" t="n">
        <v>27822.48181818182</v>
      </c>
      <c r="F4" s="3" t="n">
        <v>-2.481818181819108</v>
      </c>
    </row>
    <row r="5">
      <c r="A5" t="inlineStr">
        <is>
          <t>2026-07</t>
        </is>
      </c>
      <c r="B5" s="2" t="n">
        <v>46204</v>
      </c>
      <c r="C5" s="3" t="n">
        <v>13</v>
      </c>
      <c r="D5" s="3" t="n">
        <v>27837</v>
      </c>
      <c r="E5" s="3" t="n">
        <v>28190.80909090909</v>
      </c>
      <c r="F5" s="3" t="n">
        <v>-353.8090909090897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intercept</t>
        </is>
      </c>
      <c r="B2" t="n">
        <v>23402.55454545455</v>
      </c>
    </row>
    <row r="3">
      <c r="A3" t="inlineStr">
        <is>
          <t>slope</t>
        </is>
      </c>
      <c r="B3" t="n">
        <v>368.3272727272727</v>
      </c>
    </row>
    <row r="4">
      <c r="A4" t="inlineStr">
        <is>
          <t>r_squared</t>
        </is>
      </c>
      <c r="B4" t="n">
        <v>0.9798770186621408</v>
      </c>
    </row>
    <row r="5">
      <c r="A5" t="inlineStr">
        <is>
          <t>p_value_slope</t>
        </is>
      </c>
      <c r="B5" t="n">
        <v>0.0101126232433606</v>
      </c>
    </row>
    <row r="6">
      <c r="A6" t="inlineStr">
        <is>
          <t>std_err_slope</t>
        </is>
      </c>
      <c r="B6" t="n">
        <v>37.32323296565108</v>
      </c>
    </row>
    <row r="7">
      <c r="A7" t="inlineStr">
        <is>
          <t>slope_ci_low</t>
        </is>
      </c>
      <c r="B7" t="n">
        <v>207.7383625184996</v>
      </c>
    </row>
    <row r="8">
      <c r="A8" t="inlineStr">
        <is>
          <t>slope_ci_high</t>
        </is>
      </c>
      <c r="B8" t="n">
        <v>528.9161829360457</v>
      </c>
    </row>
    <row r="9">
      <c r="A9" t="inlineStr">
        <is>
          <t>residual_std_error</t>
        </is>
      </c>
      <c r="B9" t="n">
        <v>391.4493697669074</v>
      </c>
    </row>
    <row r="10">
      <c r="A10" t="inlineStr">
        <is>
          <t>t_critical_95</t>
        </is>
      </c>
      <c r="B10" t="n">
        <v>4.302652729911275</v>
      </c>
    </row>
    <row r="11">
      <c r="A11" t="inlineStr">
        <is>
          <t>df</t>
        </is>
      </c>
      <c r="B11" t="n">
        <v>2</v>
      </c>
    </row>
    <row r="12">
      <c r="A12" t="inlineStr">
        <is>
          <t>n_observasi</t>
        </is>
      </c>
      <c r="B1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0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jenjang</t>
        </is>
      </c>
      <c r="C1" s="1" t="inlineStr">
        <is>
          <t>kebutuhan</t>
        </is>
      </c>
      <c r="D1" s="1" t="inlineStr">
        <is>
          <t>tersedia</t>
        </is>
      </c>
      <c r="E1" s="1" t="inlineStr">
        <is>
          <t>kekurangan</t>
        </is>
      </c>
    </row>
    <row r="2">
      <c r="A2" t="inlineStr">
        <is>
          <t>terampil</t>
        </is>
      </c>
      <c r="B2" t="inlineStr">
        <is>
          <t>Terampil</t>
        </is>
      </c>
      <c r="C2" s="3" t="n">
        <v>35679</v>
      </c>
      <c r="D2" s="3" t="n">
        <v>7005</v>
      </c>
      <c r="E2" s="3" t="n">
        <v>28674</v>
      </c>
    </row>
    <row r="3">
      <c r="A3" t="inlineStr">
        <is>
          <t>mahir</t>
        </is>
      </c>
      <c r="B3" t="inlineStr">
        <is>
          <t>Mahir</t>
        </is>
      </c>
      <c r="C3" s="3" t="n">
        <v>24420</v>
      </c>
      <c r="D3" s="3" t="n">
        <v>906</v>
      </c>
      <c r="E3" s="3" t="n">
        <v>23514</v>
      </c>
    </row>
    <row r="4">
      <c r="A4" t="inlineStr">
        <is>
          <t>penyelia</t>
        </is>
      </c>
      <c r="B4" t="inlineStr">
        <is>
          <t>Penyelia</t>
        </is>
      </c>
      <c r="C4" s="3" t="n">
        <v>17488</v>
      </c>
      <c r="D4" s="3" t="n">
        <v>594</v>
      </c>
      <c r="E4" s="3" t="n">
        <v>16894</v>
      </c>
    </row>
    <row r="5">
      <c r="A5" t="inlineStr">
        <is>
          <t>ahli_pertama</t>
        </is>
      </c>
      <c r="B5" t="inlineStr">
        <is>
          <t>Ahli Pertama</t>
        </is>
      </c>
      <c r="C5" s="3" t="n">
        <v>29558</v>
      </c>
      <c r="D5" s="3" t="n">
        <v>13546</v>
      </c>
      <c r="E5" s="3" t="n">
        <v>16012</v>
      </c>
    </row>
    <row r="6">
      <c r="A6" t="inlineStr">
        <is>
          <t>ahli_muda</t>
        </is>
      </c>
      <c r="B6" t="inlineStr">
        <is>
          <t>Ahli Muda</t>
        </is>
      </c>
      <c r="C6" s="3" t="n">
        <v>18837</v>
      </c>
      <c r="D6" s="3" t="n">
        <v>4650</v>
      </c>
      <c r="E6" s="3" t="n">
        <v>14187</v>
      </c>
    </row>
    <row r="7">
      <c r="A7" t="inlineStr">
        <is>
          <t>ahli_madya</t>
        </is>
      </c>
      <c r="B7" t="inlineStr">
        <is>
          <t>Ahli Madya</t>
        </is>
      </c>
      <c r="C7" s="3" t="n">
        <v>4602</v>
      </c>
      <c r="D7" s="3" t="n">
        <v>1094</v>
      </c>
      <c r="E7" s="3" t="n">
        <v>3508</v>
      </c>
    </row>
    <row r="8">
      <c r="A8" t="inlineStr">
        <is>
          <t>ahli_utama</t>
        </is>
      </c>
      <c r="B8" t="inlineStr">
        <is>
          <t>Ahli Utama</t>
        </is>
      </c>
      <c r="C8" s="3" t="n">
        <v>132</v>
      </c>
      <c r="D8" s="3" t="n">
        <v>25</v>
      </c>
      <c r="E8" s="3" t="n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16" customWidth="1" min="4" max="4"/>
    <col width="15" customWidth="1" min="5" max="5"/>
    <col width="10" customWidth="1" min="6" max="6"/>
    <col width="7" customWidth="1" min="7" max="7"/>
    <col width="10" customWidth="1" min="8" max="8"/>
    <col width="14" customWidth="1" min="9" max="9"/>
    <col width="11" customWidth="1" min="10" max="10"/>
    <col width="12" customWidth="1" min="11" max="11"/>
    <col width="12" customWidth="1" min="12" max="12"/>
  </cols>
  <sheetData>
    <row r="1">
      <c r="A1" s="1" t="inlineStr">
        <is>
          <t>tahun</t>
        </is>
      </c>
      <c r="B1" s="1" t="inlineStr">
        <is>
          <t>bulan_ke</t>
        </is>
      </c>
      <c r="C1" s="1" t="inlineStr">
        <is>
          <t>total_estimasi</t>
        </is>
      </c>
      <c r="D1" s="1" t="inlineStr">
        <is>
          <t>total_ci_bawah</t>
        </is>
      </c>
      <c r="E1" s="1" t="inlineStr">
        <is>
          <t>total_ci_atas</t>
        </is>
      </c>
      <c r="F1" s="1" t="inlineStr">
        <is>
          <t>Terampil</t>
        </is>
      </c>
      <c r="G1" s="1" t="inlineStr">
        <is>
          <t>Mahir</t>
        </is>
      </c>
      <c r="H1" s="1" t="inlineStr">
        <is>
          <t>Penyelia</t>
        </is>
      </c>
      <c r="I1" s="1" t="inlineStr">
        <is>
          <t>Ahli Pertama</t>
        </is>
      </c>
      <c r="J1" s="1" t="inlineStr">
        <is>
          <t>Ahli Muda</t>
        </is>
      </c>
      <c r="K1" s="1" t="inlineStr">
        <is>
          <t>Ahli Madya</t>
        </is>
      </c>
      <c r="L1" s="1" t="inlineStr">
        <is>
          <t>Ahli Utama</t>
        </is>
      </c>
    </row>
    <row r="2">
      <c r="A2" s="3" t="n">
        <v>2026</v>
      </c>
      <c r="B2" s="3" t="n">
        <v>13</v>
      </c>
      <c r="C2" s="3" t="n">
        <v>28191</v>
      </c>
      <c r="D2" s="3" t="n">
        <v>27132</v>
      </c>
      <c r="E2" s="3" t="n">
        <v>29250</v>
      </c>
      <c r="F2" s="3" t="n">
        <v>7098</v>
      </c>
      <c r="G2" s="3" t="n">
        <v>918</v>
      </c>
      <c r="H2" s="3" t="n">
        <v>602</v>
      </c>
      <c r="I2" s="3" t="n">
        <v>13727</v>
      </c>
      <c r="J2" s="3" t="n">
        <v>4712</v>
      </c>
      <c r="K2" s="3" t="n">
        <v>1109</v>
      </c>
      <c r="L2" s="3" t="n">
        <v>25</v>
      </c>
    </row>
    <row r="3">
      <c r="A3" s="3" t="n">
        <v>2027</v>
      </c>
      <c r="B3" s="3" t="n">
        <v>25</v>
      </c>
      <c r="C3" s="3" t="n">
        <v>32611</v>
      </c>
      <c r="D3" s="3" t="n">
        <v>29907</v>
      </c>
      <c r="E3" s="3" t="n">
        <v>35315</v>
      </c>
      <c r="F3" s="3" t="n">
        <v>8211</v>
      </c>
      <c r="G3" s="3" t="n">
        <v>1062</v>
      </c>
      <c r="H3" s="3" t="n">
        <v>696</v>
      </c>
      <c r="I3" s="3" t="n">
        <v>15879</v>
      </c>
      <c r="J3" s="3" t="n">
        <v>5451</v>
      </c>
      <c r="K3" s="3" t="n">
        <v>1283</v>
      </c>
      <c r="L3" s="3" t="n">
        <v>29</v>
      </c>
    </row>
    <row r="4">
      <c r="A4" s="3" t="n">
        <v>2028</v>
      </c>
      <c r="B4" s="3" t="n">
        <v>37</v>
      </c>
      <c r="C4" s="3" t="n">
        <v>37031</v>
      </c>
      <c r="D4" s="3" t="n">
        <v>32456</v>
      </c>
      <c r="E4" s="3" t="n">
        <v>41605</v>
      </c>
      <c r="F4" s="3" t="n">
        <v>9324</v>
      </c>
      <c r="G4" s="3" t="n">
        <v>1206</v>
      </c>
      <c r="H4" s="3" t="n">
        <v>791</v>
      </c>
      <c r="I4" s="3" t="n">
        <v>18031</v>
      </c>
      <c r="J4" s="3" t="n">
        <v>6190</v>
      </c>
      <c r="K4" s="3" t="n">
        <v>1456</v>
      </c>
      <c r="L4" s="3" t="n">
        <v>33</v>
      </c>
    </row>
    <row r="5">
      <c r="A5" s="3" t="n">
        <v>2029</v>
      </c>
      <c r="B5" s="3" t="n">
        <v>49</v>
      </c>
      <c r="C5" s="3" t="n">
        <v>41451</v>
      </c>
      <c r="D5" s="3" t="n">
        <v>34972</v>
      </c>
      <c r="E5" s="3" t="n">
        <v>47929</v>
      </c>
      <c r="F5" s="3" t="n">
        <v>10437</v>
      </c>
      <c r="G5" s="3" t="n">
        <v>1350</v>
      </c>
      <c r="H5" s="3" t="n">
        <v>885</v>
      </c>
      <c r="I5" s="3" t="n">
        <v>20183</v>
      </c>
      <c r="J5" s="3" t="n">
        <v>6929</v>
      </c>
      <c r="K5" s="3" t="n">
        <v>1630</v>
      </c>
      <c r="L5" s="3" t="n">
        <v>37</v>
      </c>
    </row>
    <row r="6">
      <c r="A6" s="3" t="n">
        <v>2030</v>
      </c>
      <c r="B6" s="3" t="n">
        <v>61</v>
      </c>
      <c r="C6" s="3" t="n">
        <v>45871</v>
      </c>
      <c r="D6" s="3" t="n">
        <v>37478</v>
      </c>
      <c r="E6" s="3" t="n">
        <v>54263</v>
      </c>
      <c r="F6" s="3" t="n">
        <v>11550</v>
      </c>
      <c r="G6" s="3" t="n">
        <v>1494</v>
      </c>
      <c r="H6" s="3" t="n">
        <v>980</v>
      </c>
      <c r="I6" s="3" t="n">
        <v>22335</v>
      </c>
      <c r="J6" s="3" t="n">
        <v>7667</v>
      </c>
      <c r="K6" s="3" t="n">
        <v>1804</v>
      </c>
      <c r="L6" s="3" t="n">
        <v>41</v>
      </c>
    </row>
    <row r="7">
      <c r="A7" s="3" t="n">
        <v>2031</v>
      </c>
      <c r="B7" s="3" t="n">
        <v>73</v>
      </c>
      <c r="C7" s="3" t="n">
        <v>50290</v>
      </c>
      <c r="D7" s="3" t="n">
        <v>39978</v>
      </c>
      <c r="E7" s="3" t="n">
        <v>60603</v>
      </c>
      <c r="F7" s="3" t="n">
        <v>12663</v>
      </c>
      <c r="G7" s="3" t="n">
        <v>1638</v>
      </c>
      <c r="H7" s="3" t="n">
        <v>1074</v>
      </c>
      <c r="I7" s="3" t="n">
        <v>24487</v>
      </c>
      <c r="J7" s="3" t="n">
        <v>8406</v>
      </c>
      <c r="K7" s="3" t="n">
        <v>1977</v>
      </c>
      <c r="L7" s="3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7" customWidth="1" min="3" max="3"/>
    <col width="7" customWidth="1" min="4" max="4"/>
    <col width="24" customWidth="1" min="5" max="5"/>
  </cols>
  <sheetData>
    <row r="1">
      <c r="A1" s="1" t="inlineStr">
        <is>
          <t>skenario_2031</t>
        </is>
      </c>
      <c r="B1" s="1" t="inlineStr">
        <is>
          <t>proyeksi_tersedia</t>
        </is>
      </c>
      <c r="C1" s="1" t="inlineStr">
        <is>
          <t>kebutuhan_ideal</t>
        </is>
      </c>
      <c r="D1" s="1" t="inlineStr">
        <is>
          <t>gap</t>
        </is>
      </c>
      <c r="E1" s="1" t="inlineStr">
        <is>
          <t>persen_belum_terpenuhi</t>
        </is>
      </c>
    </row>
    <row r="2">
      <c r="A2" t="inlineStr">
        <is>
          <t>Batas bawah 95% CI</t>
        </is>
      </c>
      <c r="B2" s="3" t="n">
        <v>39978</v>
      </c>
      <c r="C2" s="3" t="n">
        <v>130716</v>
      </c>
      <c r="D2" s="3" t="n">
        <v>90738</v>
      </c>
      <c r="E2" s="4" t="n">
        <v>0.6941613880473698</v>
      </c>
    </row>
    <row r="3">
      <c r="A3" t="inlineStr">
        <is>
          <t>Titik estimasi</t>
        </is>
      </c>
      <c r="B3" s="3" t="n">
        <v>50290</v>
      </c>
      <c r="C3" s="3" t="n">
        <v>130716</v>
      </c>
      <c r="D3" s="3" t="n">
        <v>80426</v>
      </c>
      <c r="E3" s="4" t="n">
        <v>0.6152728051653967</v>
      </c>
    </row>
    <row r="4">
      <c r="A4" t="inlineStr">
        <is>
          <t>Batas atas 95% CI</t>
        </is>
      </c>
      <c r="B4" s="3" t="n">
        <v>60603</v>
      </c>
      <c r="C4" s="3" t="n">
        <v>130716</v>
      </c>
      <c r="D4" s="3" t="n">
        <v>70113</v>
      </c>
      <c r="E4" s="4" t="n">
        <v>0.5363765721105297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Titik proyeksi tahunan disetarakan pada bulan Juli setiap tahun.</t>
        </is>
      </c>
    </row>
    <row r="2">
      <c r="A2" t="inlineStr">
        <is>
          <t>Regresi OLS memakai total nasional: Juni 2025, Mei 2026, Juni 2026, Juli 2026.</t>
        </is>
      </c>
    </row>
    <row r="3">
      <c r="A3" t="inlineStr">
        <is>
          <t>Komposisi per jenjang memakai proporsi angka tersedia dashboard resmi Juli 2026.</t>
        </is>
      </c>
    </row>
    <row r="4">
      <c r="A4" t="inlineStr">
        <is>
          <t>Total time-series Juli 2026 adalah 27.837, sedangkan total komposisi dashboard resmi adalah 27.820.</t>
        </is>
      </c>
    </row>
    <row r="5">
      <c r="A5" t="inlineStr">
        <is>
          <t>Data BKN 2025 tidak memuat usia/tanggal lahir; proyeksi pensiun presisi tidak dihitung.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2026-07-09T07:39:24Z</dcterms:created>
  <dcterms:modified xmlns:dcterms="http://purl.org/dc/terms/" xmlns:xsi="http://www.w3.org/2001/XMLSchema-instance" xsi:type="dcterms:W3CDTF">2026-07-09T07:39:24Z</dcterms:modified>
</cp:coreProperties>
</file>